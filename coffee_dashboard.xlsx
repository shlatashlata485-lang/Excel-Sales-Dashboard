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ger 2026\Downloads\"/>
    </mc:Choice>
  </mc:AlternateContent>
  <xr:revisionPtr revIDLastSave="0" documentId="13_ncr:1_{88201FDD-F5D7-4051-B3EB-CA4F33ABE911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Analusis" sheetId="1" r:id="rId1"/>
    <sheet name="Dashboard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2" l="1"/>
  <c r="F7" i="2"/>
  <c r="B7" i="2"/>
</calcChain>
</file>

<file path=xl/sharedStrings.xml><?xml version="1.0" encoding="utf-8"?>
<sst xmlns="http://schemas.openxmlformats.org/spreadsheetml/2006/main" count="62" uniqueCount="44">
  <si>
    <t>Most Popular Coffee</t>
  </si>
  <si>
    <t>Orders by Month</t>
  </si>
  <si>
    <t>Orders by Day</t>
  </si>
  <si>
    <t>Orders by Shift</t>
  </si>
  <si>
    <t>Orders by Payment</t>
  </si>
  <si>
    <t>Row Labels</t>
  </si>
  <si>
    <t>orders</t>
  </si>
  <si>
    <t>Americano</t>
  </si>
  <si>
    <t>Mar</t>
  </si>
  <si>
    <t>Friday</t>
  </si>
  <si>
    <t>afternoon</t>
  </si>
  <si>
    <t>Card</t>
  </si>
  <si>
    <t>Americano With Milk</t>
  </si>
  <si>
    <t>Apr</t>
  </si>
  <si>
    <t>Monday</t>
  </si>
  <si>
    <t>evening</t>
  </si>
  <si>
    <t>Cash</t>
  </si>
  <si>
    <t>Cappuccino</t>
  </si>
  <si>
    <t>May</t>
  </si>
  <si>
    <t>Saturday</t>
  </si>
  <si>
    <t>morning</t>
  </si>
  <si>
    <t>Grand Total</t>
  </si>
  <si>
    <t>Cocoa</t>
  </si>
  <si>
    <t>Jun</t>
  </si>
  <si>
    <t>Sunday</t>
  </si>
  <si>
    <t>Cortado</t>
  </si>
  <si>
    <t>Jul</t>
  </si>
  <si>
    <t>Thursday</t>
  </si>
  <si>
    <t>Espresso</t>
  </si>
  <si>
    <t>Aug</t>
  </si>
  <si>
    <t>Tuesday</t>
  </si>
  <si>
    <t>Hot Chocolate</t>
  </si>
  <si>
    <t>Wednesday</t>
  </si>
  <si>
    <t>Latte</t>
  </si>
  <si>
    <t>Total Orders</t>
  </si>
  <si>
    <t>Total Sales</t>
  </si>
  <si>
    <t>sales</t>
  </si>
  <si>
    <t>Total Items</t>
  </si>
  <si>
    <t>itmes</t>
  </si>
  <si>
    <t>Coffee Shop Sales Dashboard</t>
  </si>
  <si>
    <t>Order, product, and payment analysis</t>
  </si>
  <si>
    <t>TOTAL ORDERS</t>
  </si>
  <si>
    <t>TOTAL SALES</t>
  </si>
  <si>
    <t>TOTAL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</si>
</sst>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charset val="1"/>
    </font>
    <font>
      <b/>
      <sz val="22"/>
      <color rgb="FF1B2A3A"/>
      <name val="Arial"/>
      <charset val="1"/>
    </font>
    <font>
      <i/>
      <sz val="11"/>
      <color rgb="FF6B5E4C"/>
      <name val="Arial"/>
      <charset val="1"/>
    </font>
    <font>
      <b/>
      <sz val="10"/>
      <color rgb="FFFFFFFF"/>
      <name val="Arial"/>
      <charset val="1"/>
    </font>
    <font>
      <b/>
      <sz val="20"/>
      <color rgb="FF1B2A3A"/>
      <name val="Arial"/>
      <charset val="1"/>
    </font>
    <font>
      <b/>
      <sz val="12"/>
      <color rgb="FF1B2A3A"/>
      <name val="Arial"/>
      <charset val="1"/>
    </font>
    <font>
      <b/>
      <sz val="16"/>
      <color theme="1"/>
      <name val="Calibri"/>
      <family val="2"/>
    </font>
    <font>
      <b/>
      <sz val="14"/>
      <color theme="1"/>
      <name val="Calibri"/>
      <family val="2"/>
      <charset val="1"/>
    </font>
    <font>
      <b/>
      <sz val="14"/>
      <color rgb="FF1B2A3A"/>
      <name val="Arial"/>
      <family val="2"/>
    </font>
    <font>
      <b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EFE9"/>
        <bgColor rgb="FFFFFFFF"/>
      </patternFill>
    </fill>
    <fill>
      <patternFill patternType="solid">
        <fgColor rgb="FF1B2A3A"/>
        <bgColor rgb="FF3A2A1C"/>
      </patternFill>
    </fill>
    <fill>
      <patternFill patternType="solid">
        <fgColor rgb="FFFFFFFF"/>
        <bgColor rgb="FFF2EFE9"/>
      </patternFill>
    </fill>
  </fills>
  <borders count="2">
    <border>
      <left/>
      <right/>
      <top/>
      <bottom/>
      <diagonal/>
    </border>
    <border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8B8B8B"/>
      <rgbColor rgb="FF9999FF"/>
      <rgbColor rgb="FF993366"/>
      <rgbColor rgb="FFF2EF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B5E4C"/>
      <rgbColor rgb="FFC9A05C"/>
      <rgbColor rgb="FF1B2A3A"/>
      <rgbColor rgb="FF339966"/>
      <rgbColor rgb="FF003300"/>
      <rgbColor rgb="FF333300"/>
      <rgbColor rgb="FF993300"/>
      <rgbColor rgb="FF993366"/>
      <rgbColor rgb="FF333399"/>
      <rgbColor rgb="FF3A2A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Analusis!$C$2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C9A05C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Analusis!$B$3:$B$10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Analusis!$C$3:$C$10</c:f>
              <c:numCache>
                <c:formatCode>General</c:formatCode>
                <c:ptCount val="8"/>
                <c:pt idx="0">
                  <c:v>185</c:v>
                </c:pt>
                <c:pt idx="1">
                  <c:v>319</c:v>
                </c:pt>
                <c:pt idx="2">
                  <c:v>222</c:v>
                </c:pt>
                <c:pt idx="3">
                  <c:v>44</c:v>
                </c:pt>
                <c:pt idx="4">
                  <c:v>123</c:v>
                </c:pt>
                <c:pt idx="5">
                  <c:v>59</c:v>
                </c:pt>
                <c:pt idx="6">
                  <c:v>79</c:v>
                </c:pt>
                <c:pt idx="7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E-4FDB-8687-BEAA571CF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78435"/>
        <c:axId val="37237301"/>
      </c:barChart>
      <c:catAx>
        <c:axId val="346784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237301"/>
        <c:crosses val="autoZero"/>
        <c:auto val="1"/>
        <c:lblAlgn val="ctr"/>
        <c:lblOffset val="100"/>
        <c:noMultiLvlLbl val="0"/>
      </c:catAx>
      <c:valAx>
        <c:axId val="3723730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784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8951073185629141"/>
          <c:y val="0.21827053801469817"/>
          <c:w val="0.48025762315838283"/>
          <c:h val="0.7445718543083456"/>
        </c:manualLayout>
      </c:layout>
      <c:pieChart>
        <c:varyColors val="1"/>
        <c:ser>
          <c:idx val="0"/>
          <c:order val="0"/>
          <c:tx>
            <c:strRef>
              <c:f>Analusis!$O$2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B0E-48F2-A1B4-FB260B1121C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B0E-48F2-A1B4-FB260B1121C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B0E-48F2-A1B4-FB260B1121C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B0E-48F2-A1B4-FB260B1121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Analusis!$N$3:$N$4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Analusis!$O$3:$O$4</c:f>
              <c:numCache>
                <c:formatCode>0.00%</c:formatCode>
                <c:ptCount val="2"/>
                <c:pt idx="0">
                  <c:v>0.93221629855293198</c:v>
                </c:pt>
                <c:pt idx="1">
                  <c:v>6.7783701447067801E-2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0E-48F2-A1B4-FB260B112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6.6264272082942555E-2"/>
          <c:y val="4.2351151837610949E-2"/>
          <c:w val="0.90055123951903027"/>
          <c:h val="0.70842538480637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Analusis!$F$2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B2A3A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Analusis!$E$3:$E$8</c:f>
              <c:strCache>
                <c:ptCount val="6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</c:strCache>
            </c:strRef>
          </c:cat>
          <c:val>
            <c:numRef>
              <c:f>Analusis!$F$3:$F$8</c:f>
              <c:numCache>
                <c:formatCode>General</c:formatCode>
                <c:ptCount val="6"/>
                <c:pt idx="0">
                  <c:v>206</c:v>
                </c:pt>
                <c:pt idx="1">
                  <c:v>196</c:v>
                </c:pt>
                <c:pt idx="2">
                  <c:v>267</c:v>
                </c:pt>
                <c:pt idx="3">
                  <c:v>227</c:v>
                </c:pt>
                <c:pt idx="4">
                  <c:v>237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7-480B-8FC9-89037B79C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738444"/>
        <c:axId val="34980899"/>
      </c:barChart>
      <c:catAx>
        <c:axId val="897384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80899"/>
        <c:crosses val="autoZero"/>
        <c:auto val="1"/>
        <c:lblAlgn val="ctr"/>
        <c:lblOffset val="100"/>
        <c:noMultiLvlLbl val="0"/>
      </c:catAx>
      <c:valAx>
        <c:axId val="3498089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384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052335845233077"/>
          <c:y val="7.95017018542898E-2"/>
          <c:w val="0.85947664154766923"/>
          <c:h val="0.647611801005800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Analusis!$I$2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C9A05C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Analusis!$H$3:$H$9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Analusis!$I$3:$I$9</c:f>
              <c:numCache>
                <c:formatCode>General</c:formatCode>
                <c:ptCount val="7"/>
                <c:pt idx="0">
                  <c:v>181</c:v>
                </c:pt>
                <c:pt idx="1">
                  <c:v>177</c:v>
                </c:pt>
                <c:pt idx="2">
                  <c:v>189</c:v>
                </c:pt>
                <c:pt idx="3">
                  <c:v>172</c:v>
                </c:pt>
                <c:pt idx="4">
                  <c:v>200</c:v>
                </c:pt>
                <c:pt idx="5">
                  <c:v>206</c:v>
                </c:pt>
                <c:pt idx="6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9-4C8D-9B2D-C5CF29B6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1081"/>
        <c:axId val="37523786"/>
      </c:barChart>
      <c:catAx>
        <c:axId val="20281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23786"/>
        <c:crosses val="autoZero"/>
        <c:auto val="1"/>
        <c:lblAlgn val="ctr"/>
        <c:lblOffset val="100"/>
        <c:noMultiLvlLbl val="0"/>
      </c:catAx>
      <c:valAx>
        <c:axId val="375237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810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290114767183881"/>
          <c:y val="2.7548633159418788E-3"/>
          <c:w val="0.82222408861639529"/>
          <c:h val="0.785388055912962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Analusis!$L$2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A2A1C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Analusis!$K$3:$K$5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Analusis!$L$3:$L$5</c:f>
              <c:numCache>
                <c:formatCode>General</c:formatCode>
                <c:ptCount val="3"/>
                <c:pt idx="0">
                  <c:v>435</c:v>
                </c:pt>
                <c:pt idx="1">
                  <c:v>469</c:v>
                </c:pt>
                <c:pt idx="2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8-4023-88E7-1C42870C0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868192"/>
        <c:axId val="24338859"/>
      </c:barChart>
      <c:catAx>
        <c:axId val="3086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338859"/>
        <c:crosses val="autoZero"/>
        <c:auto val="1"/>
        <c:lblAlgn val="ctr"/>
        <c:lblOffset val="100"/>
        <c:noMultiLvlLbl val="0"/>
      </c:catAx>
      <c:valAx>
        <c:axId val="24338859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8681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181080</xdr:rowOff>
    </xdr:from>
    <xdr:to>
      <xdr:col>5</xdr:col>
      <xdr:colOff>254000</xdr:colOff>
      <xdr:row>22</xdr:row>
      <xdr:rowOff>81914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362859</xdr:colOff>
      <xdr:row>11</xdr:row>
      <xdr:rowOff>12105</xdr:rowOff>
    </xdr:from>
    <xdr:to>
      <xdr:col>10</xdr:col>
      <xdr:colOff>62915</xdr:colOff>
      <xdr:row>22</xdr:row>
      <xdr:rowOff>56696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1</xdr:rowOff>
    </xdr:from>
    <xdr:to>
      <xdr:col>8</xdr:col>
      <xdr:colOff>10154</xdr:colOff>
      <xdr:row>35</xdr:row>
      <xdr:rowOff>182345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138297</xdr:colOff>
      <xdr:row>11</xdr:row>
      <xdr:rowOff>90715</xdr:rowOff>
    </xdr:from>
    <xdr:to>
      <xdr:col>14</xdr:col>
      <xdr:colOff>604397</xdr:colOff>
      <xdr:row>22</xdr:row>
      <xdr:rowOff>22679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124733</xdr:colOff>
      <xdr:row>26</xdr:row>
      <xdr:rowOff>84157</xdr:rowOff>
    </xdr:from>
    <xdr:to>
      <xdr:col>14</xdr:col>
      <xdr:colOff>555625</xdr:colOff>
      <xdr:row>35</xdr:row>
      <xdr:rowOff>130062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zoomScale="93" zoomScaleNormal="93" workbookViewId="0">
      <selection activeCell="N1" sqref="N1"/>
    </sheetView>
  </sheetViews>
  <sheetFormatPr defaultColWidth="8.6328125" defaultRowHeight="14.5" x14ac:dyDescent="0.35"/>
  <cols>
    <col min="1" max="1" width="15.08984375" customWidth="1"/>
    <col min="2" max="2" width="18.453125" customWidth="1"/>
    <col min="3" max="3" width="6.26953125" customWidth="1"/>
    <col min="5" max="5" width="12.36328125" customWidth="1"/>
    <col min="6" max="6" width="6.26953125" customWidth="1"/>
    <col min="8" max="8" width="12.36328125" customWidth="1"/>
    <col min="9" max="9" width="6.26953125" customWidth="1"/>
    <col min="11" max="11" width="12.36328125" customWidth="1"/>
    <col min="12" max="12" width="6.26953125" customWidth="1"/>
    <col min="14" max="14" width="34.26953125" customWidth="1"/>
    <col min="15" max="15" width="10" customWidth="1"/>
  </cols>
  <sheetData>
    <row r="1" spans="1:15" x14ac:dyDescent="0.35">
      <c r="B1" t="s">
        <v>0</v>
      </c>
      <c r="E1" t="s">
        <v>1</v>
      </c>
      <c r="H1" t="s">
        <v>2</v>
      </c>
      <c r="K1" t="s">
        <v>3</v>
      </c>
      <c r="N1" t="s">
        <v>4</v>
      </c>
    </row>
    <row r="2" spans="1:15" x14ac:dyDescent="0.35">
      <c r="B2" t="s">
        <v>5</v>
      </c>
      <c r="C2" t="s">
        <v>6</v>
      </c>
      <c r="E2" t="s">
        <v>5</v>
      </c>
      <c r="F2" t="s">
        <v>6</v>
      </c>
      <c r="H2" t="s">
        <v>5</v>
      </c>
      <c r="I2" t="s">
        <v>6</v>
      </c>
      <c r="K2" t="s">
        <v>5</v>
      </c>
      <c r="L2" t="s">
        <v>6</v>
      </c>
      <c r="N2" t="s">
        <v>5</v>
      </c>
      <c r="O2" t="s">
        <v>6</v>
      </c>
    </row>
    <row r="3" spans="1:15" x14ac:dyDescent="0.35">
      <c r="B3" s="6" t="s">
        <v>7</v>
      </c>
      <c r="C3">
        <v>185</v>
      </c>
      <c r="E3" s="6" t="s">
        <v>8</v>
      </c>
      <c r="F3">
        <v>206</v>
      </c>
      <c r="H3" s="6" t="s">
        <v>9</v>
      </c>
      <c r="I3">
        <v>181</v>
      </c>
      <c r="K3" s="6" t="s">
        <v>10</v>
      </c>
      <c r="L3">
        <v>435</v>
      </c>
      <c r="N3" s="6" t="s">
        <v>11</v>
      </c>
      <c r="O3" s="7">
        <v>0.93221629855293198</v>
      </c>
    </row>
    <row r="4" spans="1:15" x14ac:dyDescent="0.35">
      <c r="B4" s="6" t="s">
        <v>12</v>
      </c>
      <c r="C4">
        <v>319</v>
      </c>
      <c r="E4" s="6" t="s">
        <v>13</v>
      </c>
      <c r="F4">
        <v>196</v>
      </c>
      <c r="H4" s="6" t="s">
        <v>14</v>
      </c>
      <c r="I4">
        <v>177</v>
      </c>
      <c r="K4" s="6" t="s">
        <v>15</v>
      </c>
      <c r="L4">
        <v>469</v>
      </c>
      <c r="N4" s="6" t="s">
        <v>16</v>
      </c>
      <c r="O4" s="7">
        <v>6.7783701447067801E-2</v>
      </c>
    </row>
    <row r="5" spans="1:15" x14ac:dyDescent="0.35">
      <c r="B5" s="6" t="s">
        <v>17</v>
      </c>
      <c r="C5">
        <v>222</v>
      </c>
      <c r="E5" s="6" t="s">
        <v>18</v>
      </c>
      <c r="F5">
        <v>267</v>
      </c>
      <c r="H5" s="6" t="s">
        <v>19</v>
      </c>
      <c r="I5">
        <v>189</v>
      </c>
      <c r="K5" s="6" t="s">
        <v>20</v>
      </c>
      <c r="L5">
        <v>409</v>
      </c>
      <c r="N5" s="6" t="s">
        <v>21</v>
      </c>
      <c r="O5" s="7">
        <v>1</v>
      </c>
    </row>
    <row r="6" spans="1:15" x14ac:dyDescent="0.35">
      <c r="B6" s="6" t="s">
        <v>22</v>
      </c>
      <c r="C6">
        <v>44</v>
      </c>
      <c r="E6" s="6" t="s">
        <v>23</v>
      </c>
      <c r="F6">
        <v>227</v>
      </c>
      <c r="H6" s="6" t="s">
        <v>24</v>
      </c>
      <c r="I6">
        <v>172</v>
      </c>
      <c r="K6" s="6" t="s">
        <v>21</v>
      </c>
      <c r="L6">
        <v>1313</v>
      </c>
    </row>
    <row r="7" spans="1:15" x14ac:dyDescent="0.35">
      <c r="B7" s="6" t="s">
        <v>25</v>
      </c>
      <c r="C7">
        <v>123</v>
      </c>
      <c r="E7" s="6" t="s">
        <v>26</v>
      </c>
      <c r="F7">
        <v>237</v>
      </c>
      <c r="H7" s="6" t="s">
        <v>27</v>
      </c>
      <c r="I7">
        <v>200</v>
      </c>
    </row>
    <row r="8" spans="1:15" x14ac:dyDescent="0.35">
      <c r="B8" s="6" t="s">
        <v>28</v>
      </c>
      <c r="C8">
        <v>59</v>
      </c>
      <c r="E8" s="6" t="s">
        <v>29</v>
      </c>
      <c r="F8">
        <v>180</v>
      </c>
      <c r="H8" s="6" t="s">
        <v>30</v>
      </c>
      <c r="I8">
        <v>206</v>
      </c>
    </row>
    <row r="9" spans="1:15" x14ac:dyDescent="0.35">
      <c r="B9" s="6" t="s">
        <v>31</v>
      </c>
      <c r="C9">
        <v>79</v>
      </c>
      <c r="E9" s="6" t="s">
        <v>21</v>
      </c>
      <c r="F9">
        <v>1313</v>
      </c>
      <c r="H9" s="6" t="s">
        <v>32</v>
      </c>
      <c r="I9">
        <v>188</v>
      </c>
    </row>
    <row r="10" spans="1:15" x14ac:dyDescent="0.35">
      <c r="B10" s="6" t="s">
        <v>33</v>
      </c>
      <c r="C10">
        <v>282</v>
      </c>
      <c r="H10" s="6" t="s">
        <v>21</v>
      </c>
      <c r="I10">
        <v>1313</v>
      </c>
    </row>
    <row r="11" spans="1:15" x14ac:dyDescent="0.35">
      <c r="B11" s="6" t="s">
        <v>21</v>
      </c>
      <c r="C11">
        <v>1313</v>
      </c>
    </row>
    <row r="15" spans="1:15" x14ac:dyDescent="0.35">
      <c r="A15" t="s">
        <v>34</v>
      </c>
    </row>
    <row r="16" spans="1:15" x14ac:dyDescent="0.35">
      <c r="A16" t="s">
        <v>6</v>
      </c>
    </row>
    <row r="17" spans="1:1" x14ac:dyDescent="0.35">
      <c r="A17">
        <v>1313</v>
      </c>
    </row>
    <row r="20" spans="1:1" x14ac:dyDescent="0.35">
      <c r="A20" t="s">
        <v>35</v>
      </c>
    </row>
    <row r="21" spans="1:1" x14ac:dyDescent="0.35">
      <c r="A21" t="s">
        <v>36</v>
      </c>
    </row>
    <row r="22" spans="1:1" x14ac:dyDescent="0.35">
      <c r="A22">
        <v>42627.58</v>
      </c>
    </row>
    <row r="24" spans="1:1" x14ac:dyDescent="0.35">
      <c r="A24" t="s">
        <v>37</v>
      </c>
    </row>
    <row r="25" spans="1:1" x14ac:dyDescent="0.35">
      <c r="A25" t="s">
        <v>38</v>
      </c>
    </row>
    <row r="26" spans="1:1" x14ac:dyDescent="0.35">
      <c r="A26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showGridLines="0" tabSelected="1" topLeftCell="A4" zoomScale="56" zoomScaleNormal="56" workbookViewId="0">
      <selection activeCell="G25" sqref="G25"/>
    </sheetView>
  </sheetViews>
  <sheetFormatPr defaultColWidth="8.6328125" defaultRowHeight="14.5" x14ac:dyDescent="0.35"/>
  <cols>
    <col min="1" max="1" width="3" customWidth="1"/>
    <col min="2" max="15" width="10.54296875" customWidth="1"/>
  </cols>
  <sheetData>
    <row r="1" spans="1:15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8"/>
      <c r="B2" s="5" t="s">
        <v>39</v>
      </c>
      <c r="C2" s="5"/>
      <c r="D2" s="5"/>
      <c r="E2" s="5"/>
      <c r="F2" s="5"/>
      <c r="G2" s="5"/>
      <c r="H2" s="5"/>
      <c r="I2" s="8"/>
      <c r="J2" s="8"/>
      <c r="K2" s="8"/>
      <c r="L2" s="8"/>
      <c r="M2" s="8"/>
      <c r="N2" s="8"/>
      <c r="O2" s="8"/>
    </row>
    <row r="3" spans="1:15" x14ac:dyDescent="0.35">
      <c r="A3" s="8"/>
      <c r="B3" s="5"/>
      <c r="C3" s="5"/>
      <c r="D3" s="5"/>
      <c r="E3" s="5"/>
      <c r="F3" s="5"/>
      <c r="G3" s="5"/>
      <c r="H3" s="5"/>
      <c r="I3" s="8"/>
      <c r="J3" s="8"/>
      <c r="K3" s="8"/>
      <c r="L3" s="8"/>
      <c r="M3" s="8"/>
      <c r="N3" s="8"/>
      <c r="O3" s="8"/>
    </row>
    <row r="4" spans="1:15" x14ac:dyDescent="0.35">
      <c r="A4" s="8"/>
      <c r="B4" s="4" t="s">
        <v>40</v>
      </c>
      <c r="C4" s="4"/>
      <c r="D4" s="4"/>
      <c r="E4" s="4"/>
      <c r="F4" s="4"/>
      <c r="G4" s="4"/>
      <c r="H4" s="4"/>
      <c r="I4" s="8"/>
      <c r="J4" s="8"/>
      <c r="K4" s="8"/>
      <c r="L4" s="8"/>
      <c r="M4" s="8"/>
      <c r="N4" s="8"/>
      <c r="O4" s="8"/>
    </row>
    <row r="5" spans="1:15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5">
      <c r="A6" s="8"/>
      <c r="B6" s="3" t="s">
        <v>41</v>
      </c>
      <c r="C6" s="3"/>
      <c r="D6" s="3"/>
      <c r="E6" s="8"/>
      <c r="F6" s="3" t="s">
        <v>42</v>
      </c>
      <c r="G6" s="3"/>
      <c r="H6" s="3"/>
      <c r="I6" s="8"/>
      <c r="J6" s="3" t="s">
        <v>43</v>
      </c>
      <c r="K6" s="3"/>
      <c r="L6" s="3"/>
      <c r="M6" s="8"/>
      <c r="N6" s="8"/>
      <c r="O6" s="8"/>
    </row>
    <row r="7" spans="1:15" x14ac:dyDescent="0.35">
      <c r="A7" s="8"/>
      <c r="B7" s="2">
        <f>Analusis!A17</f>
        <v>1313</v>
      </c>
      <c r="C7" s="2"/>
      <c r="D7" s="2"/>
      <c r="E7" s="8"/>
      <c r="F7" s="1">
        <f>Analusis!A22</f>
        <v>42627.58</v>
      </c>
      <c r="G7" s="1"/>
      <c r="H7" s="1"/>
      <c r="I7" s="8"/>
      <c r="J7" s="2">
        <f>Analusis!A26</f>
        <v>8</v>
      </c>
      <c r="K7" s="2"/>
      <c r="L7" s="2"/>
      <c r="M7" s="8"/>
      <c r="N7" s="8"/>
      <c r="O7" s="8"/>
    </row>
    <row r="8" spans="1:15" x14ac:dyDescent="0.35">
      <c r="A8" s="8"/>
      <c r="B8" s="2"/>
      <c r="C8" s="2"/>
      <c r="D8" s="2"/>
      <c r="E8" s="8"/>
      <c r="F8" s="1"/>
      <c r="G8" s="1"/>
      <c r="H8" s="1"/>
      <c r="I8" s="8"/>
      <c r="J8" s="2"/>
      <c r="K8" s="2"/>
      <c r="L8" s="2"/>
      <c r="M8" s="8"/>
      <c r="N8" s="8"/>
      <c r="O8" s="8"/>
    </row>
    <row r="9" spans="1:15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21" x14ac:dyDescent="0.5">
      <c r="A10" s="8"/>
      <c r="B10" s="8"/>
      <c r="C10" s="8"/>
      <c r="D10" s="8"/>
      <c r="E10" s="8"/>
      <c r="F10" s="8"/>
      <c r="G10" s="11"/>
      <c r="H10" s="12" t="s">
        <v>4</v>
      </c>
      <c r="I10" s="12"/>
      <c r="J10" s="8"/>
      <c r="K10" s="8"/>
      <c r="L10" s="10" t="s">
        <v>2</v>
      </c>
      <c r="M10" s="10"/>
      <c r="N10" s="10"/>
      <c r="O10" s="8"/>
    </row>
    <row r="11" spans="1:15" ht="18.5" x14ac:dyDescent="0.45">
      <c r="A11" s="8"/>
      <c r="B11" s="9" t="s">
        <v>0</v>
      </c>
      <c r="C11" s="8"/>
      <c r="D11" s="8"/>
      <c r="E11" s="8"/>
      <c r="F11" s="8"/>
      <c r="G11" s="12"/>
      <c r="H11" s="13"/>
      <c r="I11" s="12"/>
      <c r="J11" s="8"/>
      <c r="K11" s="8"/>
      <c r="L11" s="8"/>
      <c r="M11" s="8"/>
      <c r="N11" s="8"/>
      <c r="O11" s="8"/>
    </row>
    <row r="12" spans="1:15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21" x14ac:dyDescent="0.5">
      <c r="A25" s="8"/>
      <c r="B25" s="8"/>
      <c r="C25" s="10"/>
      <c r="D25" s="10" t="s">
        <v>1</v>
      </c>
      <c r="E25" s="1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18.5" x14ac:dyDescent="0.45">
      <c r="A26" s="8"/>
      <c r="B26" s="8"/>
      <c r="C26" s="8"/>
      <c r="D26" s="8"/>
      <c r="E26" s="8"/>
      <c r="F26" s="8"/>
      <c r="G26" s="8"/>
      <c r="H26" s="8"/>
      <c r="I26" s="8"/>
      <c r="J26" s="14"/>
      <c r="K26" s="14" t="s">
        <v>3</v>
      </c>
      <c r="L26" s="14"/>
      <c r="M26" s="8"/>
      <c r="N26" s="8"/>
      <c r="O26" s="8"/>
    </row>
    <row r="27" spans="1:15" ht="15.5" x14ac:dyDescent="0.35">
      <c r="A27" s="8"/>
      <c r="B27" s="9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</row>
    <row r="28" spans="1:1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ht="15.5" x14ac:dyDescent="0.35">
      <c r="A42" s="8"/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</sheetData>
  <mergeCells count="8">
    <mergeCell ref="B7:D8"/>
    <mergeCell ref="F7:H8"/>
    <mergeCell ref="J7:L8"/>
    <mergeCell ref="B2:H3"/>
    <mergeCell ref="B4:H4"/>
    <mergeCell ref="B6:D6"/>
    <mergeCell ref="F6:H6"/>
    <mergeCell ref="J6:L6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Analusis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Tiger 2026</dc:creator>
  <dc:description/>
  <cp:lastModifiedBy>Tiger 2026</cp:lastModifiedBy>
  <cp:revision>1</cp:revision>
  <dcterms:created xsi:type="dcterms:W3CDTF">2026-04-19T14:57:03Z</dcterms:created>
  <dcterms:modified xsi:type="dcterms:W3CDTF">2026-07-23T18:06:23Z</dcterms:modified>
  <dc:language>en-US</dc:language>
</cp:coreProperties>
</file>